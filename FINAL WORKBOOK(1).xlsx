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 firstSheet="2" activeTab="1"/>
  </bookViews>
  <sheets>
    <sheet name="Read Me" sheetId="1" r:id="rId1"/>
    <sheet name="Team" sheetId="2" r:id="rId2"/>
    <sheet name="Data" sheetId="3" r:id="rId3"/>
    <sheet name="Chart counts" sheetId="4" r:id="rId4"/>
    <sheet name="Vocabularies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<sst xmlns="http://schemas.openxmlformats.org/spreadsheetml/2006/main" count="350" uniqueCount="196">
  <si>
    <t>Judgment Content Analysis · Dataset template</t>
  </si>
  <si>
    <t>How to use this file</t>
  </si>
  <si>
    <t>1. Fill the Team sheet.</t>
  </si>
  <si>
    <t>2. In the Data sheet, enter one row per judgment starting at row 6. Row 5 is a made-up example showing the format; leave it as it is.</t>
  </si>
  <si>
    <t>3. Pale yellow cells are yours to fill. Dropdown columns accept only the listed values (see the Vocabularies sheet). Do not add, delete or reorder columns.</t>
  </si>
  <si>
    <t>4. When done, rename this file data.xlsx. Also save the Data sheet as data.csv (File &gt; Save As &gt; CSV). Upload both to your GitHub repository.</t>
  </si>
  <si>
    <t>5. Read the Option 2 Guide for the column meanings, the charts, GitHub steps and the README.</t>
  </si>
  <si>
    <t>Team information</t>
  </si>
  <si>
    <t>Topic</t>
  </si>
  <si>
    <t>Maintenance and Alimony for Wife's and Childern in Matrimonial Disputes, Supreme Court of India, 2021 to 2026</t>
  </si>
  <si>
    <t>Court</t>
  </si>
  <si>
    <t xml:space="preserve">Supreme Court </t>
  </si>
  <si>
    <t>Team name</t>
  </si>
  <si>
    <t>Maintenance and Almony Analysts</t>
  </si>
  <si>
    <t>GitHub repository link</t>
  </si>
  <si>
    <t>https://github.com/mahichauhan2345-create/maintenance-and-alimony-judgement-</t>
  </si>
  <si>
    <t>Member 1 · name and section</t>
  </si>
  <si>
    <t>MAHI CHAUHAN (SECTION B)</t>
  </si>
  <si>
    <t>Member 2 · name and section</t>
  </si>
  <si>
    <t>VIDHI KAPOOR (SECTION B)</t>
  </si>
  <si>
    <t>Member 3 · name and section (if any)</t>
  </si>
  <si>
    <t>Member 4 · name and section (if any)</t>
  </si>
  <si>
    <t>Date completed (DD-MM-YYYY)</t>
  </si>
  <si>
    <t>Data · one row per judgment</t>
  </si>
  <si>
    <t>Row 5 is a made-up example. Your judgments start at row 6. Enter 10 to 20 judgments decided between 01-09-2021 and 31-08-2026. See the Option 2 Guide, section 4.</t>
  </si>
  <si>
    <t>#</t>
  </si>
  <si>
    <t>Case name</t>
  </si>
  <si>
    <t>Citation or case number</t>
  </si>
  <si>
    <t>Date of decision (DD-MM-YYYY)</t>
  </si>
  <si>
    <t>Year</t>
  </si>
  <si>
    <t>Bench strength</t>
  </si>
  <si>
    <t>Type of case</t>
  </si>
  <si>
    <t>Who brought the case</t>
  </si>
  <si>
    <t>Outcome</t>
  </si>
  <si>
    <t>Who won</t>
  </si>
  <si>
    <t>Main provision</t>
  </si>
  <si>
    <t>Issue in one line</t>
  </si>
  <si>
    <t>Holding in one line</t>
  </si>
  <si>
    <t>Precedent chiefly relied on</t>
  </si>
  <si>
    <t>Source link (official copy)</t>
  </si>
  <si>
    <t>Coded by</t>
  </si>
  <si>
    <t>EX</t>
  </si>
  <si>
    <t>Example Petitioner v. State of Maharashtra (made-up)</t>
  </si>
  <si>
    <t>2024 INSC 000 (made-up)</t>
  </si>
  <si>
    <t>15-03-2024</t>
  </si>
  <si>
    <t>Criminal appeal</t>
  </si>
  <si>
    <t>Individual</t>
  </si>
  <si>
    <t>Allowed</t>
  </si>
  <si>
    <t>s 438 CrPC</t>
  </si>
  <si>
    <t>Whether anticipatory bail can be limited to a fixed period.</t>
  </si>
  <si>
    <t>Bail granted; protection ordinarily lasts till the end of trial.</t>
  </si>
  <si>
    <t>Sushila Aggarwal v. State (NCT of Delhi)</t>
  </si>
  <si>
    <t>https://www.sci.gov.in/judgements/ (made-up)</t>
  </si>
  <si>
    <t>A. Deshmukh</t>
  </si>
  <si>
    <t>Anju Garg vs Deepak Kumar Garg</t>
  </si>
  <si>
    <t>CRIMINAL APPEAL NO. 1693 OF 2022</t>
  </si>
  <si>
    <t xml:space="preserve">sec. 125 of CrPC </t>
  </si>
  <si>
    <t xml:space="preserve">whether after rejection from Family Court and High Court, wife is entitled for maintenance under sec. 125 of CrPC? </t>
  </si>
  <si>
    <t>SC held HC and Family Court wrong; granted wife rupees 10,000 a month</t>
  </si>
  <si>
    <t>Bhuwan Mohan Singh vs. Meena &amp; Ors.</t>
  </si>
  <si>
    <t>https://api.sci.gov.in/supremecourt/2018/43245/43245_2018_9_1501_38622_Judgement_28-Sep-2022.pdf</t>
  </si>
  <si>
    <t>Mahi Chauhan</t>
  </si>
  <si>
    <t>Shahjahan v. State of UP and Another</t>
  </si>
  <si>
    <t>2025 INSC 528</t>
  </si>
  <si>
    <t>whether the wife was entitled for maintenance under sec. 125 of CrPc?</t>
  </si>
  <si>
    <t xml:space="preserve">SC awarded wife rupees 4,000 a month; Family Court's reasoning was wrong </t>
  </si>
  <si>
    <t>Rajnesh v. Neha</t>
  </si>
  <si>
    <t>https://api.sci.gov.in/supremecourt/2018/42369/42369_2018_12_2_59169_Judgement_04-Feb-2025.pdf</t>
  </si>
  <si>
    <t>Rina Kumari @ Rina Devi @ Reena vs Dinesh Kumar Mahto @ Dinesh Kumar Mahato</t>
  </si>
  <si>
    <t>2025 INSC 55</t>
  </si>
  <si>
    <t>whether refusal to comply with a decree for restitution automatically disqualifies a wife for maintenance?</t>
  </si>
  <si>
    <t xml:space="preserve">SC rejected this idea; ground should be sufficient and justifiable </t>
  </si>
  <si>
    <t>Chaturbhuj vs. Sita Bai</t>
  </si>
  <si>
    <t>https://api.sci.gov.in/supremecourt/2024/7336/7336_2024_1_1501_58403_Judgement_10-Jan-2025.pdf</t>
  </si>
  <si>
    <t>Mohd Abdul Samad vs The State Of Telangana</t>
  </si>
  <si>
    <t>2024 INSC 506</t>
  </si>
  <si>
    <t>Dismissed</t>
  </si>
  <si>
    <t>whether special act prevails over secular provisions of maintenance?</t>
  </si>
  <si>
    <t>SC held section 125 of CrPC should be applied to every women; including divorced muslim women</t>
  </si>
  <si>
    <t>Danial Latifi V. Union of India</t>
  </si>
  <si>
    <t>https://api.sci.gov.in/supremecourt/2024/3533/3533_2024_11_1501_53688_Judgement_10-Jul-2024.pdf</t>
  </si>
  <si>
    <t>Himanshu Chordia vs State Of Rajasthan</t>
  </si>
  <si>
    <t>2026 INSC 778</t>
  </si>
  <si>
    <t xml:space="preserve">sec. 125(4) of CrPC </t>
  </si>
  <si>
    <t>whether the husband's contention of wife living in adultery under section 125(4)should be determined immediately or deferred to the end, and whether interim maintenance is continued in the meantime?</t>
  </si>
  <si>
    <t>SC held that interim maintenance will be there unless adultery is proved on evidence; it should be decided before final adjudication</t>
  </si>
  <si>
    <t>Dukhtar Jahan v. Mohd. Farooq</t>
  </si>
  <si>
    <t>https://api.sci.gov.in/supremecourt/2025/8519/8519_2025_8_1501_72794_Judgement_31-Jul-2026.pdf</t>
  </si>
  <si>
    <t>S Vijikumari vs Mowneshwarachari C</t>
  </si>
  <si>
    <t xml:space="preserve">2024 INSC 732 </t>
  </si>
  <si>
    <t xml:space="preserve">sec 25(2) Protection of Women from Domestic Violence Act, 2005 </t>
  </si>
  <si>
    <t>whether final maintenance order be set aside using sec. 25 of DV Act, claiming wife hid that she was employed?</t>
  </si>
  <si>
    <t xml:space="preserve">SC rejected the claim; sec 25(2) allows alteration or revocation only for change of circumstances </t>
  </si>
  <si>
    <t>Alexander Sambath Abner vs. Miron Lede</t>
  </si>
  <si>
    <t>https://api.sci.gov.in/supremecourt/2023/15840/15840_2023_9_9_55546_Judgement_10-Sep-2024.pdf</t>
  </si>
  <si>
    <t>Aditi Alias Mithi vs Jitesh Sharma</t>
  </si>
  <si>
    <t xml:space="preserve">2023 INSC 981 </t>
  </si>
  <si>
    <t>sec 125 of CrPC</t>
  </si>
  <si>
    <t>whether minor daughter's maintenance be reduced by lower courts?</t>
  </si>
  <si>
    <t>SC held HC's order invalid</t>
  </si>
  <si>
    <t>Rajnesh v. Neha and Another</t>
  </si>
  <si>
    <t>https://api.sci.gov.in/supremecourt/2023/38285/38285_2023_11_1505_48074_Judgement_06-Nov-2023.pdf</t>
  </si>
  <si>
    <t>X vs Y</t>
  </si>
  <si>
    <t>2024 INSC 476</t>
  </si>
  <si>
    <t>Civil appeal</t>
  </si>
  <si>
    <t>Partly allowed</t>
  </si>
  <si>
    <t xml:space="preserve">sec 13(1)(ib) Hindu Marriage Act </t>
  </si>
  <si>
    <t>whether the husband has the right to seek divorce by way of desertion when the wife failed to cohabit and the appropriate amount of alimony?</t>
  </si>
  <si>
    <t xml:space="preserve">SC granted rupees 30 lakh as full and final maintenance; also divorce was granted </t>
  </si>
  <si>
    <t>None</t>
  </si>
  <si>
    <t>https://api.sci.gov.in/supremecourt/2019/43625/43625_2019_6_1505_53522_Judgement_08-Jul-2024.pdf</t>
  </si>
  <si>
    <t>Pradeep Bhardwaj vs Priya</t>
  </si>
  <si>
    <t>2025 INSC 852</t>
  </si>
  <si>
    <t xml:space="preserve">sec 13(1)(ia) Hindu Marriage Act </t>
  </si>
  <si>
    <t>whether maintenance be enhanced and what amount of maintenance should be payable post-divorce?</t>
  </si>
  <si>
    <t>SC enhanced the monthly maintenance for wife and son to rupees 15,000 a month</t>
  </si>
  <si>
    <t>Shilpa Sailesh v. Varun
Sreenivasan</t>
  </si>
  <si>
    <t>https://api.sci.gov.in/supremecourt/2019/20440/20440_2019_3_1501_62322_Judgement_15-Jul-2025.pdf</t>
  </si>
  <si>
    <t>Trisha Singh vs Anurag Kumar</t>
  </si>
  <si>
    <t xml:space="preserve">2024 INSC 450 </t>
  </si>
  <si>
    <t>Other</t>
  </si>
  <si>
    <t>Mixed or unclear</t>
  </si>
  <si>
    <t xml:space="preserve">Art. 142(1) Constitution of India </t>
  </si>
  <si>
    <t>Whether a wife can unilateraly back out from mediated settlement for permanent alimony after taking advantage?</t>
  </si>
  <si>
    <t>SC held that wife can not unilateraly do so; terms of mediated settlement agreement for full and final permanent alimony remains binding</t>
  </si>
  <si>
    <t>Ruchi Agarwal v. Amit Kumar Agrawal and Others</t>
  </si>
  <si>
    <t>https://api.sci.gov.in/supremecourt/2023/7582/7582_2023_3_2_53263_Judgement_15-May-2024.pdf</t>
  </si>
  <si>
    <t xml:space="preserve">Sukhdev Singh vs Sukhbir Kaur </t>
  </si>
  <si>
    <t xml:space="preserve"> 2025 INSC 197 </t>
  </si>
  <si>
    <t xml:space="preserve">ss 24 and 25 HMA </t>
  </si>
  <si>
    <t xml:space="preserve">Whether a spouse of marriage declared void under section 11 of can claim permanent alimony under section 25 and interim maintenance under section 24 ? </t>
  </si>
  <si>
    <t xml:space="preserve">yes it is to both, relief is discretionary and depends soley on the parties conduct </t>
  </si>
  <si>
    <t xml:space="preserve">chand dhawan vs jawaharlal dhawan </t>
  </si>
  <si>
    <t>https://api.sci.gov.in/supremecourt/2018/15003/15003_2018_4_1501_59475_Judgement_12-Feb-2025.pdf</t>
  </si>
  <si>
    <t>Vidhi Kapoor</t>
  </si>
  <si>
    <t>Rakhi Sadhukhan vs Raja Sadhukhan</t>
  </si>
  <si>
    <t>2025 INSC 789</t>
  </si>
  <si>
    <t>Sec. 27 of SMA; Sec. 24 of HMA</t>
  </si>
  <si>
    <t xml:space="preserve">whether the permanent alimony with high court fixed for the wife on divorce should be enhanced ? </t>
  </si>
  <si>
    <t>Enhanced to Rs. 50,000 a month with a 5% rise every two years, based on husband's income and the marital standard of living.</t>
  </si>
  <si>
    <t>https://api.sci.gov.in/supremecourt/2023/2269/2269_2023_3_1501_62129_Judgement_29-May-2025.pdf</t>
  </si>
  <si>
    <t xml:space="preserve">Vidhi Kapoor </t>
  </si>
  <si>
    <t xml:space="preserve">Sonia Virk vs Rohit Vats </t>
  </si>
  <si>
    <t>2025 INSC 1390</t>
  </si>
  <si>
    <t>Sec. 25 of HMA</t>
  </si>
  <si>
    <t>whether the permanent alimony the high court fixed for the wife on divorce should be enhanced.</t>
  </si>
  <si>
    <t>Divorce upheld, alimony raised from Rs. 30 lakh to Rs. 50 Lakh as full settlement, given the husband's income and judicial office.</t>
  </si>
  <si>
    <t>https://api.sci.gov.in/supremecourt/2024/52790/52790_2024_2_1501_66615_Judgement_05-Dec-2025.pdf</t>
  </si>
  <si>
    <t xml:space="preserve">Salil Dhawan vs Priyanshi Ghai </t>
  </si>
  <si>
    <t>2026 INSC 577</t>
  </si>
  <si>
    <t>Art. 142 of Constitution of India</t>
  </si>
  <si>
    <t xml:space="preserve">whether the court should dissolve the marriage under article 142 despite the wife's opposition, what permanent alimony should be fixed? </t>
  </si>
  <si>
    <t>Marriage got dissolved Rs 50 lakh fixed as full and final alimony, replacing Rs 32 lakh offer, and all the pending cases were closed.</t>
  </si>
  <si>
    <t>https://api.sci.gov.in/supremecourt/2024/61192/61192_2024_2_1502_71618_Judgement_27-May-2026.pdf</t>
  </si>
  <si>
    <t xml:space="preserve">Mansi Khatri vs Gaurav Khatri </t>
  </si>
  <si>
    <t xml:space="preserve">Transfer petition (civil) no 1595 </t>
  </si>
  <si>
    <t>What permanent alimony should be fixed for the wife when the parties agree to divorce and leave the amount to the court</t>
  </si>
  <si>
    <t>Marriage broken down irretrievably; mutual consent divorce granted; Rs 35 lakh fixed as permanent alimony, payable within 6 months.</t>
  </si>
  <si>
    <t>https://api.sci.gov.in/supremecourt/2022/21900/21900_2022_2_1501_44628_Judgement_19-May-2023.pdf</t>
  </si>
  <si>
    <t xml:space="preserve">Pankaj Shukla vs Deepak Chaturvedi </t>
  </si>
  <si>
    <t>Special Leave to Appeal (C) No(s). 19120-19121/2023</t>
  </si>
  <si>
    <t>Sec. 13(1), 24 and 25 of HMA</t>
  </si>
  <si>
    <t>Whether the wife should get permanent alimony ?</t>
  </si>
  <si>
    <t xml:space="preserve">Divorce upheld after 17 years of separation Rs 50 lakh alimony lump sum alimony fixed, payable in three months </t>
  </si>
  <si>
    <t>PENDING - official sci.gov.in link to be added</t>
  </si>
  <si>
    <t xml:space="preserve">Vikas Kanaujia vs Sarita </t>
  </si>
  <si>
    <t>2024 INSC 517</t>
  </si>
  <si>
    <t>Whether the marriage should be dissolved for irretrievable breakdown despite the wife's opposition, and whether alimony is payable?</t>
  </si>
  <si>
    <t>Marriage dissolved after 22 years of separation; no permanent alimony as both were doctors with equal earnings.</t>
  </si>
  <si>
    <t>https://api.sci.gov.in/supremecourt/2019/41310/41310_2019_7_1505_53544_Judgement_10-Jul-2024.pdf</t>
  </si>
  <si>
    <t>Kiran Jyot Maini  vs Anish Promod Patel</t>
  </si>
  <si>
    <t>2024 INSC 530</t>
  </si>
  <si>
    <t>Whether the marriage should be dissolved for irretrievable breakdown and what one-time alimony should be fixed, in place of interim maintenance claims?</t>
  </si>
  <si>
    <t xml:space="preserve">Marriage dissolved with a fixed alimony of 2 crores, pending cases were closed </t>
  </si>
  <si>
    <t>https://api.sci.gov.in/supremecourt/2024/1789/1789_2024_7_1506_53695_Judgement_15-Jul-2024.pdf</t>
  </si>
  <si>
    <t>Parvin Kumar Jain vs Anju Jain</t>
  </si>
  <si>
    <t>2024 INSC 961</t>
  </si>
  <si>
    <t>Sec. 24 and 26 of HMA; Art. 142 of Constitution of India</t>
  </si>
  <si>
    <t>Whether the marriage should be dissolved under Article 142 and what permanent alimony should be paid to the wife and son?</t>
  </si>
  <si>
    <t>Marriage dissolved; Rs 5 crore one-time alimony to wife and Rs 1 crore for the son, payable within 4 months.</t>
  </si>
  <si>
    <t>https://api.sci.gov.in/supremecourt/2024/41732/41732_2024_6_1502_57756_Judgement_10-Dec-2024.pdf</t>
  </si>
  <si>
    <t xml:space="preserve">Smt. N. Usha Rani vs Moodududla Srinivas </t>
  </si>
  <si>
    <t>2025 INSC 129</t>
  </si>
  <si>
    <t>Whether a woman can claim sec 125 maintenance from her second husband while her first marriage has not been resolved by a legal decree?</t>
  </si>
  <si>
    <t>Yes, the husband knew of the first marriage and married her twice she had separated from her first husband by an MoU and received no maintainance from him</t>
  </si>
  <si>
    <t>Vimala (K) vs Veeraswamy (K)</t>
  </si>
  <si>
    <t>https://api.sci.gov.in/supremecourt/2017/23813/23813_2017_7_1501_58898_Judgement_30-Jan-2025.pdf</t>
  </si>
  <si>
    <t>Counts for your charts (these update automatically from the Data sheet)</t>
  </si>
  <si>
    <t>Select a table below, then Insert &gt; Chart in Excel or Google Sheets. Save each chart as PNG.</t>
  </si>
  <si>
    <t>Judgments</t>
  </si>
  <si>
    <t>Company</t>
  </si>
  <si>
    <t>State or public body</t>
  </si>
  <si>
    <t>Association or NGO</t>
  </si>
  <si>
    <t>Writ petition</t>
  </si>
  <si>
    <t>SLP</t>
  </si>
  <si>
    <t>Lists used by the dropdowns (do not edit)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</si>
</sst>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2">
    <font>
      <sz val="11"/>
      <color theme="1"/>
      <name val="Calibri"/>
      <charset val="134"/>
      <scheme val="minor"/>
    </font>
    <font>
      <b/>
      <sz val="12"/>
      <color rgb="FF1B2431"/>
      <name val="Arial"/>
      <charset val="134"/>
    </font>
    <font>
      <b/>
      <sz val="9"/>
      <color rgb="FFFFFFFF"/>
      <name val="Arial"/>
      <charset val="134"/>
    </font>
    <font>
      <sz val="9"/>
      <name val="Arial"/>
      <charset val="134"/>
    </font>
    <font>
      <sz val="9"/>
      <color rgb="FF5A6472"/>
      <name val="Arial"/>
      <charset val="134"/>
    </font>
    <font>
      <b/>
      <sz val="14"/>
      <color rgb="FF1B2431"/>
      <name val="Arial"/>
      <charset val="134"/>
    </font>
    <font>
      <sz val="9"/>
      <color rgb="FF000000"/>
      <name val="Arial Regular"/>
      <charset val="134"/>
    </font>
    <font>
      <sz val="9"/>
      <color rgb="FF333333"/>
      <name val="Arial Regular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C00000"/>
      <name val="Calibri"/>
      <charset val="134"/>
    </font>
    <font>
      <u/>
      <sz val="9"/>
      <color theme="1"/>
      <name val="Arial Regular"/>
      <charset val="0"/>
    </font>
    <font>
      <b/>
      <sz val="10"/>
      <name val="Arial"/>
      <charset val="134"/>
    </font>
    <font>
      <sz val="10"/>
      <name val="Arial"/>
      <charset val="134"/>
    </font>
    <font>
      <b/>
      <sz val="16"/>
      <color rgb="FF1B2431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2431"/>
        <bgColor indexed="64"/>
      </patternFill>
    </fill>
    <fill>
      <patternFill patternType="solid">
        <fgColor rgb="FFF2F2F0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0" fillId="5" borderId="3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4">
      <alignment vertical="center"/>
    </xf>
    <xf numFmtId="0" fontId="19" fillId="0" borderId="4">
      <alignment vertical="center"/>
    </xf>
    <xf numFmtId="0" fontId="20" fillId="0" borderId="5">
      <alignment vertical="center"/>
    </xf>
    <xf numFmtId="0" fontId="20" fillId="0" borderId="0">
      <alignment vertical="center"/>
    </xf>
    <xf numFmtId="0" fontId="21" fillId="6" borderId="6">
      <alignment vertical="center"/>
    </xf>
    <xf numFmtId="0" fontId="22" fillId="7" borderId="7">
      <alignment vertical="center"/>
    </xf>
    <xf numFmtId="0" fontId="23" fillId="7" borderId="6">
      <alignment vertical="center"/>
    </xf>
    <xf numFmtId="0" fontId="24" fillId="8" borderId="8">
      <alignment vertical="center"/>
    </xf>
    <xf numFmtId="0" fontId="25" fillId="0" borderId="9">
      <alignment vertical="center"/>
    </xf>
    <xf numFmtId="0" fontId="26" fillId="0" borderId="1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80" fontId="3" fillId="4" borderId="1" xfId="0" applyNumberFormat="1" applyFont="1" applyFill="1" applyBorder="1" applyAlignment="1">
      <alignment vertical="top" wrapText="1"/>
    </xf>
    <xf numFmtId="0" fontId="6" fillId="4" borderId="0" xfId="0" applyFont="1" applyFill="1" applyAlignment="1">
      <alignment horizontal="center" wrapText="1"/>
    </xf>
    <xf numFmtId="0" fontId="7" fillId="4" borderId="2" xfId="0" applyFont="1" applyFill="1" applyBorder="1" applyAlignment="1">
      <alignment horizontal="justify"/>
    </xf>
    <xf numFmtId="0" fontId="8" fillId="4" borderId="1" xfId="6" applyFont="1" applyFill="1" applyBorder="1" applyAlignment="1">
      <alignment vertical="top" wrapText="1"/>
    </xf>
    <xf numFmtId="0" fontId="9" fillId="4" borderId="1" xfId="6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4" borderId="1" xfId="6" applyFont="1" applyFill="1" applyBorder="1" applyAlignment="1">
      <alignment vertical="top" wrapText="1"/>
    </xf>
    <xf numFmtId="0" fontId="12" fillId="0" borderId="0" xfId="0" applyFont="1"/>
    <xf numFmtId="0" fontId="13" fillId="4" borderId="1" xfId="0" applyFont="1" applyFill="1" applyBorder="1"/>
    <xf numFmtId="0" fontId="9" fillId="0" borderId="0" xfId="6" applyFill="1">
      <alignment vertical="center"/>
    </xf>
    <xf numFmtId="180" fontId="13" fillId="4" borderId="1" xfId="0" applyNumberFormat="1" applyFont="1" applyFill="1" applyBorder="1"/>
    <xf numFmtId="0" fontId="1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hichauhan2345-create/maintenance-and-alimony-judgement-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api.sci.gov.in/supremecourt/2019/20440/20440_2019_3_1501_62322_Judgement_15-Jul-2025.pdf" TargetMode="External"/><Relationship Id="rId8" Type="http://schemas.openxmlformats.org/officeDocument/2006/relationships/hyperlink" Target="https://api.sci.gov.in/supremecourt/2019/43625/43625_2019_6_1505_53522_Judgement_08-Jul-2024.pdf" TargetMode="External"/><Relationship Id="rId7" Type="http://schemas.openxmlformats.org/officeDocument/2006/relationships/hyperlink" Target="https://api.sci.gov.in/supremecourt/2023/38285/38285_2023_11_1505_48074_Judgement_06-Nov-2023.pdf" TargetMode="External"/><Relationship Id="rId6" Type="http://schemas.openxmlformats.org/officeDocument/2006/relationships/hyperlink" Target="https://api.sci.gov.in/supremecourt/2023/15840/15840_2023_9_9_55546_Judgement_10-Sep-2024.pdf" TargetMode="External"/><Relationship Id="rId5" Type="http://schemas.openxmlformats.org/officeDocument/2006/relationships/hyperlink" Target="https://api.sci.gov.in/supremecourt/2025/8519/8519_2025_8_1501_72794_Judgement_31-Jul-2026.pdf" TargetMode="External"/><Relationship Id="rId4" Type="http://schemas.openxmlformats.org/officeDocument/2006/relationships/hyperlink" Target="https://api.sci.gov.in/supremecourt/2024/3533/3533_2024_11_1501_53688_Judgement_10-Jul-2024.pdf" TargetMode="External"/><Relationship Id="rId3" Type="http://schemas.openxmlformats.org/officeDocument/2006/relationships/hyperlink" Target="https://api.sci.gov.in/supremecourt/2024/7336/7336_2024_1_1501_58403_Judgement_10-Jan-2025.pdf" TargetMode="External"/><Relationship Id="rId2" Type="http://schemas.openxmlformats.org/officeDocument/2006/relationships/hyperlink" Target="https://api.sci.gov.in/supremecourt/2018/42369/42369_2018_12_2_59169_Judgement_04-Feb-2025.pdf" TargetMode="External"/><Relationship Id="rId19" Type="http://schemas.openxmlformats.org/officeDocument/2006/relationships/hyperlink" Target="https://api.sci.gov.in/supremecourt/2017/23813/23813_2017_7_1501_58898_Judgement_30-Jan-2025.pdf" TargetMode="External"/><Relationship Id="rId18" Type="http://schemas.openxmlformats.org/officeDocument/2006/relationships/hyperlink" Target="https://api.sci.gov.in/supremecourt/2024/41732/41732_2024_6_1502_57756_Judgement_10-Dec-2024.pdf" TargetMode="External"/><Relationship Id="rId17" Type="http://schemas.openxmlformats.org/officeDocument/2006/relationships/hyperlink" Target="https://api.sci.gov.in/supremecourt/2024/1789/1789_2024_7_1506_53695_Judgement_15-Jul-2024.pdf" TargetMode="External"/><Relationship Id="rId16" Type="http://schemas.openxmlformats.org/officeDocument/2006/relationships/hyperlink" Target="https://api.sci.gov.in/supremecourt/2019/41310/41310_2019_7_1505_53544_Judgement_10-Jul-2024.pdf" TargetMode="External"/><Relationship Id="rId15" Type="http://schemas.openxmlformats.org/officeDocument/2006/relationships/hyperlink" Target="https://api.sci.gov.in/supremecourt/2022/21900/21900_2022_2_1501_44628_Judgement_19-May-2023.pdf" TargetMode="External"/><Relationship Id="rId14" Type="http://schemas.openxmlformats.org/officeDocument/2006/relationships/hyperlink" Target="https://api.sci.gov.in/supremecourt/2024/61192/61192_2024_2_1502_71618_Judgement_27-May-2026.pdf" TargetMode="External"/><Relationship Id="rId13" Type="http://schemas.openxmlformats.org/officeDocument/2006/relationships/hyperlink" Target="https://api.sci.gov.in/supremecourt/2024/52790/52790_2024_2_1501_66615_Judgement_05-Dec-2025.pdf" TargetMode="External"/><Relationship Id="rId12" Type="http://schemas.openxmlformats.org/officeDocument/2006/relationships/hyperlink" Target="https://api.sci.gov.in/supremecourt/2023/2269/2269_2023_3_1501_62129_Judgement_29-May-2025.pdf" TargetMode="External"/><Relationship Id="rId11" Type="http://schemas.openxmlformats.org/officeDocument/2006/relationships/hyperlink" Target="https://api.sci.gov.in/supremecourt/2018/15003/15003_2018_4_1501_59475_Judgement_12-Feb-2025.pdf" TargetMode="External"/><Relationship Id="rId10" Type="http://schemas.openxmlformats.org/officeDocument/2006/relationships/hyperlink" Target="https://api.sci.gov.in/supremecourt/2023/7582/7582_2023_3_2_53263_Judgement_15-May-2024.pdf" TargetMode="External"/><Relationship Id="rId1" Type="http://schemas.openxmlformats.org/officeDocument/2006/relationships/hyperlink" Target="https://api.sci.gov.in/supremecourt/2018/43245/43245_2018_9_1501_38622_Judgement_28-Sep-2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9"/>
  <sheetViews>
    <sheetView workbookViewId="0">
      <selection activeCell="B21" sqref="B21"/>
    </sheetView>
  </sheetViews>
  <sheetFormatPr defaultColWidth="8.83636363636364" defaultRowHeight="14.5" outlineLevelCol="1"/>
  <cols>
    <col min="1" max="1" width="3" customWidth="1"/>
    <col min="2" max="2" width="105" customWidth="1"/>
  </cols>
  <sheetData>
    <row r="2" ht="36" customHeight="1" spans="2:2">
      <c r="B2" s="21" t="s">
        <v>0</v>
      </c>
    </row>
    <row r="3" ht="16" customHeight="1" spans="2:2">
      <c r="B3" s="22"/>
    </row>
    <row r="4" ht="18" customHeight="1" spans="2:2">
      <c r="B4" s="23" t="s">
        <v>1</v>
      </c>
    </row>
    <row r="5" ht="16" customHeight="1" spans="2:2">
      <c r="B5" s="24" t="s">
        <v>2</v>
      </c>
    </row>
    <row r="6" ht="30" customHeight="1" spans="2:2">
      <c r="B6" s="24" t="s">
        <v>3</v>
      </c>
    </row>
    <row r="7" ht="30" customHeight="1" spans="2:2">
      <c r="B7" s="24" t="s">
        <v>4</v>
      </c>
    </row>
    <row r="8" ht="30" customHeight="1" spans="2:2">
      <c r="B8" s="24" t="s">
        <v>5</v>
      </c>
    </row>
    <row r="9" ht="16" customHeight="1" spans="2:2">
      <c r="B9" s="24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2"/>
  <sheetViews>
    <sheetView tabSelected="1" topLeftCell="A3" workbookViewId="0">
      <selection activeCell="C6" sqref="C6"/>
    </sheetView>
  </sheetViews>
  <sheetFormatPr defaultColWidth="8.83636363636364" defaultRowHeight="14.5" outlineLevelCol="2"/>
  <cols>
    <col min="1" max="1" width="3" customWidth="1"/>
    <col min="2" max="2" width="32" customWidth="1"/>
    <col min="3" max="3" width="50" customWidth="1"/>
  </cols>
  <sheetData>
    <row r="2" ht="20.4" customHeight="1" spans="2:2">
      <c r="B2" s="5" t="s">
        <v>7</v>
      </c>
    </row>
    <row r="4" spans="2:3">
      <c r="B4" s="17" t="s">
        <v>8</v>
      </c>
      <c r="C4" s="18" t="s">
        <v>9</v>
      </c>
    </row>
    <row r="5" spans="2:3">
      <c r="B5" s="17" t="s">
        <v>10</v>
      </c>
      <c r="C5" s="18" t="s">
        <v>11</v>
      </c>
    </row>
    <row r="6" spans="2:3">
      <c r="B6" s="17" t="s">
        <v>12</v>
      </c>
      <c r="C6" s="18" t="s">
        <v>13</v>
      </c>
    </row>
    <row r="7" spans="2:3">
      <c r="B7" s="17" t="s">
        <v>14</v>
      </c>
      <c r="C7" s="19" t="s">
        <v>15</v>
      </c>
    </row>
    <row r="8" spans="2:3">
      <c r="B8" s="17" t="s">
        <v>16</v>
      </c>
      <c r="C8" s="18" t="s">
        <v>17</v>
      </c>
    </row>
    <row r="9" spans="2:3">
      <c r="B9" s="17" t="s">
        <v>18</v>
      </c>
      <c r="C9" s="18" t="s">
        <v>19</v>
      </c>
    </row>
    <row r="10" spans="2:3">
      <c r="B10" s="17" t="s">
        <v>20</v>
      </c>
      <c r="C10" s="18"/>
    </row>
    <row r="11" spans="2:3">
      <c r="B11" s="17" t="s">
        <v>21</v>
      </c>
      <c r="C11" s="18"/>
    </row>
    <row r="12" spans="2:3">
      <c r="B12" s="17" t="s">
        <v>22</v>
      </c>
      <c r="C12" s="20">
        <v>46320</v>
      </c>
    </row>
  </sheetData>
  <hyperlinks>
    <hyperlink ref="C7" r:id="rId1" display="https://github.com/mahichauhan2345-create/maintenance-and-alimony-judgement-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B3" sqref="B3"/>
    </sheetView>
  </sheetViews>
  <sheetFormatPr defaultColWidth="8.83636363636364" defaultRowHeight="14.5"/>
  <cols>
    <col min="1" max="1" width="4" customWidth="1"/>
    <col min="2" max="2" width="32" customWidth="1"/>
    <col min="3" max="3" width="22" customWidth="1"/>
    <col min="4" max="4" width="14" customWidth="1"/>
    <col min="5" max="5" width="7" customWidth="1"/>
    <col min="6" max="6" width="8" customWidth="1"/>
    <col min="7" max="7" width="16" customWidth="1"/>
    <col min="8" max="8" width="20" customWidth="1"/>
    <col min="9" max="9" width="14" customWidth="1"/>
    <col min="10" max="10" width="20" customWidth="1"/>
    <col min="11" max="11" width="18" customWidth="1"/>
    <col min="12" max="13" width="40" customWidth="1"/>
    <col min="14" max="14" width="28" customWidth="1"/>
    <col min="15" max="15" width="30" customWidth="1"/>
    <col min="16" max="16" width="16" customWidth="1"/>
  </cols>
  <sheetData>
    <row r="1" ht="20.4" customHeight="1" spans="1:1">
      <c r="A1" s="5" t="s">
        <v>23</v>
      </c>
    </row>
    <row r="2" spans="1:1">
      <c r="A2" s="4" t="s">
        <v>24</v>
      </c>
    </row>
    <row r="4" ht="36" customHeight="1" spans="1:16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 t="s">
        <v>36</v>
      </c>
      <c r="M4" s="6" t="s">
        <v>37</v>
      </c>
      <c r="N4" s="6" t="s">
        <v>38</v>
      </c>
      <c r="O4" s="6" t="s">
        <v>39</v>
      </c>
      <c r="P4" s="6" t="s">
        <v>40</v>
      </c>
    </row>
    <row r="5" ht="45" customHeight="1" spans="1:16">
      <c r="A5" s="7" t="s">
        <v>41</v>
      </c>
      <c r="B5" s="7" t="s">
        <v>42</v>
      </c>
      <c r="C5" s="7" t="s">
        <v>43</v>
      </c>
      <c r="D5" s="7" t="s">
        <v>44</v>
      </c>
      <c r="E5" s="7">
        <v>2024</v>
      </c>
      <c r="F5" s="7">
        <v>2</v>
      </c>
      <c r="G5" s="7" t="s">
        <v>45</v>
      </c>
      <c r="H5" s="7" t="s">
        <v>46</v>
      </c>
      <c r="I5" s="7" t="s">
        <v>47</v>
      </c>
      <c r="J5" s="7" t="s">
        <v>46</v>
      </c>
      <c r="K5" s="7" t="s">
        <v>48</v>
      </c>
      <c r="L5" s="7" t="s">
        <v>49</v>
      </c>
      <c r="M5" s="7" t="s">
        <v>50</v>
      </c>
      <c r="N5" s="7" t="s">
        <v>51</v>
      </c>
      <c r="O5" s="7" t="s">
        <v>52</v>
      </c>
      <c r="P5" s="7" t="s">
        <v>53</v>
      </c>
    </row>
    <row r="6" ht="40" customHeight="1" spans="1:16">
      <c r="A6" s="3">
        <v>1</v>
      </c>
      <c r="B6" s="8" t="s">
        <v>54</v>
      </c>
      <c r="C6" s="8" t="s">
        <v>55</v>
      </c>
      <c r="D6" s="9">
        <v>44832</v>
      </c>
      <c r="E6" s="8">
        <v>2022</v>
      </c>
      <c r="F6" s="8">
        <v>2</v>
      </c>
      <c r="G6" s="8" t="s">
        <v>45</v>
      </c>
      <c r="H6" s="8" t="s">
        <v>46</v>
      </c>
      <c r="I6" s="8" t="s">
        <v>47</v>
      </c>
      <c r="J6" s="8" t="s">
        <v>46</v>
      </c>
      <c r="K6" s="8" t="s">
        <v>56</v>
      </c>
      <c r="L6" s="8" t="s">
        <v>57</v>
      </c>
      <c r="M6" s="8" t="s">
        <v>58</v>
      </c>
      <c r="N6" s="8" t="s">
        <v>59</v>
      </c>
      <c r="O6" s="12" t="s">
        <v>60</v>
      </c>
      <c r="P6" s="8" t="s">
        <v>61</v>
      </c>
    </row>
    <row r="7" ht="40" customHeight="1" spans="1:16">
      <c r="A7" s="3">
        <v>2</v>
      </c>
      <c r="B7" s="8" t="s">
        <v>62</v>
      </c>
      <c r="C7" s="8" t="s">
        <v>63</v>
      </c>
      <c r="D7" s="9">
        <v>45692</v>
      </c>
      <c r="E7" s="8">
        <v>2025</v>
      </c>
      <c r="F7" s="8">
        <v>2</v>
      </c>
      <c r="G7" s="8" t="s">
        <v>45</v>
      </c>
      <c r="H7" s="8" t="s">
        <v>46</v>
      </c>
      <c r="I7" s="8" t="s">
        <v>47</v>
      </c>
      <c r="J7" s="8" t="s">
        <v>46</v>
      </c>
      <c r="K7" s="8" t="s">
        <v>56</v>
      </c>
      <c r="L7" s="8" t="s">
        <v>64</v>
      </c>
      <c r="M7" s="8" t="s">
        <v>65</v>
      </c>
      <c r="N7" s="8" t="s">
        <v>66</v>
      </c>
      <c r="O7" s="12" t="s">
        <v>67</v>
      </c>
      <c r="P7" s="8" t="s">
        <v>61</v>
      </c>
    </row>
    <row r="8" ht="40" customHeight="1" spans="1:16">
      <c r="A8" s="3">
        <v>3</v>
      </c>
      <c r="B8" s="8" t="s">
        <v>68</v>
      </c>
      <c r="C8" s="8" t="s">
        <v>69</v>
      </c>
      <c r="D8" s="9">
        <v>45667</v>
      </c>
      <c r="E8" s="8">
        <v>2025</v>
      </c>
      <c r="F8" s="8">
        <v>2</v>
      </c>
      <c r="G8" s="8" t="s">
        <v>45</v>
      </c>
      <c r="H8" s="8" t="s">
        <v>46</v>
      </c>
      <c r="I8" s="8" t="s">
        <v>47</v>
      </c>
      <c r="J8" s="8" t="s">
        <v>46</v>
      </c>
      <c r="K8" s="8" t="s">
        <v>56</v>
      </c>
      <c r="L8" s="8" t="s">
        <v>70</v>
      </c>
      <c r="M8" s="8" t="s">
        <v>71</v>
      </c>
      <c r="N8" s="8" t="s">
        <v>72</v>
      </c>
      <c r="O8" s="13" t="s">
        <v>73</v>
      </c>
      <c r="P8" s="8" t="s">
        <v>61</v>
      </c>
    </row>
    <row r="9" ht="40" customHeight="1" spans="1:16">
      <c r="A9" s="3">
        <v>4</v>
      </c>
      <c r="B9" s="8" t="s">
        <v>74</v>
      </c>
      <c r="C9" s="8" t="s">
        <v>75</v>
      </c>
      <c r="D9" s="9">
        <v>45483</v>
      </c>
      <c r="E9" s="8">
        <v>2024</v>
      </c>
      <c r="F9" s="8">
        <v>2</v>
      </c>
      <c r="G9" s="8" t="s">
        <v>45</v>
      </c>
      <c r="H9" s="8" t="s">
        <v>46</v>
      </c>
      <c r="I9" s="8" t="s">
        <v>76</v>
      </c>
      <c r="J9" s="8" t="s">
        <v>46</v>
      </c>
      <c r="K9" s="8" t="s">
        <v>56</v>
      </c>
      <c r="L9" s="8" t="s">
        <v>77</v>
      </c>
      <c r="M9" s="8" t="s">
        <v>78</v>
      </c>
      <c r="N9" s="8" t="s">
        <v>79</v>
      </c>
      <c r="O9" s="13" t="s">
        <v>80</v>
      </c>
      <c r="P9" s="8" t="s">
        <v>61</v>
      </c>
    </row>
    <row r="10" ht="40" customHeight="1" spans="1:16">
      <c r="A10" s="3">
        <v>5</v>
      </c>
      <c r="B10" s="8" t="s">
        <v>81</v>
      </c>
      <c r="C10" s="8" t="s">
        <v>82</v>
      </c>
      <c r="D10" s="9">
        <v>46234</v>
      </c>
      <c r="E10" s="8">
        <v>2026</v>
      </c>
      <c r="F10" s="8">
        <v>2</v>
      </c>
      <c r="G10" s="8" t="s">
        <v>45</v>
      </c>
      <c r="H10" s="8" t="s">
        <v>46</v>
      </c>
      <c r="I10" s="8" t="s">
        <v>47</v>
      </c>
      <c r="J10" s="8" t="s">
        <v>46</v>
      </c>
      <c r="K10" s="8" t="s">
        <v>83</v>
      </c>
      <c r="L10" s="8" t="s">
        <v>84</v>
      </c>
      <c r="M10" s="8" t="s">
        <v>85</v>
      </c>
      <c r="N10" s="8" t="s">
        <v>86</v>
      </c>
      <c r="O10" s="13" t="s">
        <v>87</v>
      </c>
      <c r="P10" s="8" t="s">
        <v>61</v>
      </c>
    </row>
    <row r="11" ht="40" customHeight="1" spans="1:16">
      <c r="A11" s="3">
        <v>6</v>
      </c>
      <c r="B11" s="8" t="s">
        <v>88</v>
      </c>
      <c r="C11" s="8" t="s">
        <v>89</v>
      </c>
      <c r="D11" s="9">
        <v>45545</v>
      </c>
      <c r="E11" s="8">
        <v>2024</v>
      </c>
      <c r="F11" s="8">
        <v>2</v>
      </c>
      <c r="G11" s="8" t="s">
        <v>45</v>
      </c>
      <c r="H11" s="8" t="s">
        <v>46</v>
      </c>
      <c r="I11" s="8" t="s">
        <v>47</v>
      </c>
      <c r="J11" s="8" t="s">
        <v>46</v>
      </c>
      <c r="K11" s="8" t="s">
        <v>90</v>
      </c>
      <c r="L11" s="8" t="s">
        <v>91</v>
      </c>
      <c r="M11" s="8" t="s">
        <v>92</v>
      </c>
      <c r="N11" s="8" t="s">
        <v>93</v>
      </c>
      <c r="O11" s="13" t="s">
        <v>94</v>
      </c>
      <c r="P11" s="8" t="s">
        <v>61</v>
      </c>
    </row>
    <row r="12" ht="40" customHeight="1" spans="1:16">
      <c r="A12" s="3">
        <v>7</v>
      </c>
      <c r="B12" s="8" t="s">
        <v>95</v>
      </c>
      <c r="C12" s="8" t="s">
        <v>96</v>
      </c>
      <c r="D12" s="9">
        <v>45236</v>
      </c>
      <c r="E12" s="8">
        <v>2023</v>
      </c>
      <c r="F12" s="8">
        <v>2</v>
      </c>
      <c r="G12" s="8" t="s">
        <v>45</v>
      </c>
      <c r="H12" s="8" t="s">
        <v>46</v>
      </c>
      <c r="I12" s="8" t="s">
        <v>47</v>
      </c>
      <c r="J12" s="8" t="s">
        <v>46</v>
      </c>
      <c r="K12" s="8" t="s">
        <v>97</v>
      </c>
      <c r="L12" s="8" t="s">
        <v>98</v>
      </c>
      <c r="M12" s="8" t="s">
        <v>99</v>
      </c>
      <c r="N12" s="8" t="s">
        <v>100</v>
      </c>
      <c r="O12" s="13" t="s">
        <v>101</v>
      </c>
      <c r="P12" s="8" t="s">
        <v>61</v>
      </c>
    </row>
    <row r="13" ht="40" customHeight="1" spans="1:16">
      <c r="A13" s="3">
        <v>8</v>
      </c>
      <c r="B13" s="8" t="s">
        <v>102</v>
      </c>
      <c r="C13" s="8" t="s">
        <v>103</v>
      </c>
      <c r="D13" s="9">
        <v>45481</v>
      </c>
      <c r="E13" s="8">
        <v>2024</v>
      </c>
      <c r="F13" s="8">
        <v>2</v>
      </c>
      <c r="G13" s="8" t="s">
        <v>104</v>
      </c>
      <c r="H13" s="8" t="s">
        <v>46</v>
      </c>
      <c r="I13" s="8" t="s">
        <v>105</v>
      </c>
      <c r="J13" s="8" t="s">
        <v>46</v>
      </c>
      <c r="K13" s="8" t="s">
        <v>106</v>
      </c>
      <c r="L13" s="8" t="s">
        <v>107</v>
      </c>
      <c r="M13" s="8" t="s">
        <v>108</v>
      </c>
      <c r="N13" s="8" t="s">
        <v>109</v>
      </c>
      <c r="O13" s="13" t="s">
        <v>110</v>
      </c>
      <c r="P13" s="8" t="s">
        <v>61</v>
      </c>
    </row>
    <row r="14" ht="40" customHeight="1" spans="1:16">
      <c r="A14" s="3">
        <v>9</v>
      </c>
      <c r="B14" s="8" t="s">
        <v>111</v>
      </c>
      <c r="C14" s="8" t="s">
        <v>112</v>
      </c>
      <c r="D14" s="9">
        <v>45853</v>
      </c>
      <c r="E14" s="8">
        <v>2025</v>
      </c>
      <c r="F14" s="8">
        <v>2</v>
      </c>
      <c r="G14" s="8" t="s">
        <v>104</v>
      </c>
      <c r="H14" s="8" t="s">
        <v>46</v>
      </c>
      <c r="I14" s="8" t="s">
        <v>47</v>
      </c>
      <c r="J14" s="8" t="s">
        <v>46</v>
      </c>
      <c r="K14" s="8" t="s">
        <v>113</v>
      </c>
      <c r="L14" s="8" t="s">
        <v>114</v>
      </c>
      <c r="M14" s="8" t="s">
        <v>115</v>
      </c>
      <c r="N14" s="8" t="s">
        <v>116</v>
      </c>
      <c r="O14" s="13" t="s">
        <v>117</v>
      </c>
      <c r="P14" s="8" t="s">
        <v>61</v>
      </c>
    </row>
    <row r="15" ht="40" customHeight="1" spans="1:16">
      <c r="A15" s="3">
        <v>10</v>
      </c>
      <c r="B15" s="8" t="s">
        <v>118</v>
      </c>
      <c r="C15" s="8" t="s">
        <v>119</v>
      </c>
      <c r="D15" s="9">
        <v>45427</v>
      </c>
      <c r="E15" s="8">
        <v>2024</v>
      </c>
      <c r="F15" s="8">
        <v>3</v>
      </c>
      <c r="G15" s="8" t="s">
        <v>120</v>
      </c>
      <c r="H15" s="8" t="s">
        <v>46</v>
      </c>
      <c r="I15" s="8" t="s">
        <v>47</v>
      </c>
      <c r="J15" s="8" t="s">
        <v>121</v>
      </c>
      <c r="K15" s="8" t="s">
        <v>122</v>
      </c>
      <c r="L15" s="8" t="s">
        <v>123</v>
      </c>
      <c r="M15" s="8" t="s">
        <v>124</v>
      </c>
      <c r="N15" s="8" t="s">
        <v>125</v>
      </c>
      <c r="O15" s="12" t="s">
        <v>126</v>
      </c>
      <c r="P15" s="8" t="s">
        <v>61</v>
      </c>
    </row>
    <row r="16" ht="40" customHeight="1" spans="1:16">
      <c r="A16" s="3">
        <v>11</v>
      </c>
      <c r="B16" s="10" t="s">
        <v>127</v>
      </c>
      <c r="C16" s="11" t="s">
        <v>128</v>
      </c>
      <c r="D16" s="9">
        <v>45700</v>
      </c>
      <c r="E16" s="8">
        <v>2025</v>
      </c>
      <c r="F16" s="8">
        <v>3</v>
      </c>
      <c r="G16" s="8" t="s">
        <v>104</v>
      </c>
      <c r="H16" s="8" t="s">
        <v>46</v>
      </c>
      <c r="I16" s="8" t="s">
        <v>47</v>
      </c>
      <c r="J16" s="8" t="s">
        <v>121</v>
      </c>
      <c r="K16" s="8" t="s">
        <v>129</v>
      </c>
      <c r="L16" s="8" t="s">
        <v>130</v>
      </c>
      <c r="M16" s="8" t="s">
        <v>131</v>
      </c>
      <c r="N16" s="8" t="s">
        <v>132</v>
      </c>
      <c r="O16" s="13" t="s">
        <v>133</v>
      </c>
      <c r="P16" s="8" t="s">
        <v>134</v>
      </c>
    </row>
    <row r="17" ht="40" customHeight="1" spans="1:16">
      <c r="A17" s="3">
        <v>12</v>
      </c>
      <c r="B17" s="10" t="s">
        <v>135</v>
      </c>
      <c r="C17" s="8" t="s">
        <v>136</v>
      </c>
      <c r="D17" s="9">
        <v>45806</v>
      </c>
      <c r="E17" s="8">
        <v>2025</v>
      </c>
      <c r="F17" s="8">
        <v>2</v>
      </c>
      <c r="G17" s="8" t="s">
        <v>104</v>
      </c>
      <c r="H17" s="8" t="s">
        <v>46</v>
      </c>
      <c r="I17" s="8" t="s">
        <v>47</v>
      </c>
      <c r="J17" s="8" t="s">
        <v>46</v>
      </c>
      <c r="K17" s="8" t="s">
        <v>137</v>
      </c>
      <c r="L17" s="8" t="s">
        <v>138</v>
      </c>
      <c r="M17" s="8" t="s">
        <v>139</v>
      </c>
      <c r="N17" s="8" t="s">
        <v>109</v>
      </c>
      <c r="O17" s="13" t="s">
        <v>140</v>
      </c>
      <c r="P17" s="8" t="s">
        <v>141</v>
      </c>
    </row>
    <row r="18" ht="40" customHeight="1" spans="1:16">
      <c r="A18" s="3">
        <v>13</v>
      </c>
      <c r="B18" s="10" t="s">
        <v>142</v>
      </c>
      <c r="C18" s="8" t="s">
        <v>143</v>
      </c>
      <c r="D18" s="9">
        <v>45996</v>
      </c>
      <c r="E18" s="8">
        <v>2025</v>
      </c>
      <c r="F18" s="8">
        <v>2</v>
      </c>
      <c r="G18" s="8" t="s">
        <v>104</v>
      </c>
      <c r="H18" s="8" t="s">
        <v>46</v>
      </c>
      <c r="I18" s="8" t="s">
        <v>105</v>
      </c>
      <c r="J18" s="8" t="s">
        <v>121</v>
      </c>
      <c r="K18" s="8" t="s">
        <v>144</v>
      </c>
      <c r="L18" s="8" t="s">
        <v>145</v>
      </c>
      <c r="M18" s="8" t="s">
        <v>146</v>
      </c>
      <c r="N18" s="8" t="s">
        <v>109</v>
      </c>
      <c r="O18" s="14" t="s">
        <v>147</v>
      </c>
      <c r="P18" s="8" t="s">
        <v>141</v>
      </c>
    </row>
    <row r="19" ht="40" customHeight="1" spans="1:16">
      <c r="A19" s="3">
        <v>14</v>
      </c>
      <c r="B19" s="8" t="s">
        <v>148</v>
      </c>
      <c r="C19" s="8" t="s">
        <v>149</v>
      </c>
      <c r="D19" s="9">
        <v>46169</v>
      </c>
      <c r="E19" s="8">
        <v>2026</v>
      </c>
      <c r="F19" s="8">
        <v>2</v>
      </c>
      <c r="G19" s="8" t="s">
        <v>104</v>
      </c>
      <c r="H19" s="8" t="s">
        <v>46</v>
      </c>
      <c r="I19" s="8" t="s">
        <v>105</v>
      </c>
      <c r="J19" s="8" t="s">
        <v>121</v>
      </c>
      <c r="K19" s="8" t="s">
        <v>150</v>
      </c>
      <c r="L19" s="8" t="s">
        <v>151</v>
      </c>
      <c r="M19" s="8" t="s">
        <v>152</v>
      </c>
      <c r="N19" s="8" t="s">
        <v>116</v>
      </c>
      <c r="O19" s="13" t="s">
        <v>153</v>
      </c>
      <c r="P19" s="8" t="s">
        <v>134</v>
      </c>
    </row>
    <row r="20" ht="40" customHeight="1" spans="1:16">
      <c r="A20" s="3">
        <v>15</v>
      </c>
      <c r="B20" s="8" t="s">
        <v>154</v>
      </c>
      <c r="C20" s="8" t="s">
        <v>155</v>
      </c>
      <c r="D20" s="9">
        <v>45065</v>
      </c>
      <c r="E20" s="8">
        <v>2023</v>
      </c>
      <c r="F20" s="8">
        <v>2</v>
      </c>
      <c r="G20" s="8" t="s">
        <v>120</v>
      </c>
      <c r="H20" s="8" t="s">
        <v>46</v>
      </c>
      <c r="I20" s="8" t="s">
        <v>47</v>
      </c>
      <c r="J20" s="8" t="s">
        <v>121</v>
      </c>
      <c r="K20" s="8" t="s">
        <v>150</v>
      </c>
      <c r="L20" s="8" t="s">
        <v>156</v>
      </c>
      <c r="M20" s="8" t="s">
        <v>157</v>
      </c>
      <c r="N20" s="8" t="s">
        <v>109</v>
      </c>
      <c r="O20" s="13" t="s">
        <v>158</v>
      </c>
      <c r="P20" s="8" t="s">
        <v>134</v>
      </c>
    </row>
    <row r="21" ht="40" customHeight="1" spans="1:16">
      <c r="A21" s="3">
        <v>16</v>
      </c>
      <c r="B21" s="8" t="s">
        <v>159</v>
      </c>
      <c r="C21" s="8" t="s">
        <v>160</v>
      </c>
      <c r="D21" s="9">
        <v>45974</v>
      </c>
      <c r="E21" s="8">
        <v>2025</v>
      </c>
      <c r="F21" s="8">
        <v>2</v>
      </c>
      <c r="G21" s="8" t="s">
        <v>104</v>
      </c>
      <c r="H21" s="8" t="s">
        <v>46</v>
      </c>
      <c r="I21" s="8" t="s">
        <v>105</v>
      </c>
      <c r="J21" s="8" t="s">
        <v>121</v>
      </c>
      <c r="K21" s="8" t="s">
        <v>161</v>
      </c>
      <c r="L21" s="8" t="s">
        <v>162</v>
      </c>
      <c r="M21" s="8" t="s">
        <v>163</v>
      </c>
      <c r="N21" s="8" t="s">
        <v>109</v>
      </c>
      <c r="O21" s="15" t="s">
        <v>164</v>
      </c>
      <c r="P21" s="8" t="s">
        <v>134</v>
      </c>
    </row>
    <row r="22" ht="40" customHeight="1" spans="1:16">
      <c r="A22" s="3">
        <v>17</v>
      </c>
      <c r="B22" s="8" t="s">
        <v>165</v>
      </c>
      <c r="C22" s="8" t="s">
        <v>166</v>
      </c>
      <c r="D22" s="9">
        <v>45483</v>
      </c>
      <c r="E22" s="8">
        <v>2024</v>
      </c>
      <c r="F22" s="8">
        <v>2</v>
      </c>
      <c r="G22" s="8" t="s">
        <v>104</v>
      </c>
      <c r="H22" s="8" t="s">
        <v>46</v>
      </c>
      <c r="I22" s="8" t="s">
        <v>47</v>
      </c>
      <c r="J22" s="8" t="s">
        <v>121</v>
      </c>
      <c r="K22" s="8" t="s">
        <v>150</v>
      </c>
      <c r="L22" s="8" t="s">
        <v>167</v>
      </c>
      <c r="M22" s="8" t="s">
        <v>168</v>
      </c>
      <c r="N22" s="8" t="s">
        <v>116</v>
      </c>
      <c r="O22" s="13" t="s">
        <v>169</v>
      </c>
      <c r="P22" s="8" t="s">
        <v>134</v>
      </c>
    </row>
    <row r="23" ht="40" customHeight="1" spans="1:16">
      <c r="A23" s="3">
        <v>18</v>
      </c>
      <c r="B23" s="8" t="s">
        <v>170</v>
      </c>
      <c r="C23" s="8" t="s">
        <v>171</v>
      </c>
      <c r="D23" s="9">
        <v>45488</v>
      </c>
      <c r="E23" s="8">
        <v>2024</v>
      </c>
      <c r="F23" s="8">
        <v>2</v>
      </c>
      <c r="G23" s="8" t="s">
        <v>45</v>
      </c>
      <c r="H23" s="8" t="s">
        <v>46</v>
      </c>
      <c r="I23" s="8" t="s">
        <v>47</v>
      </c>
      <c r="J23" s="8" t="s">
        <v>46</v>
      </c>
      <c r="K23" s="8" t="s">
        <v>150</v>
      </c>
      <c r="L23" s="8" t="s">
        <v>172</v>
      </c>
      <c r="M23" s="8" t="s">
        <v>173</v>
      </c>
      <c r="N23" s="8" t="s">
        <v>66</v>
      </c>
      <c r="O23" s="12" t="s">
        <v>174</v>
      </c>
      <c r="P23" s="8" t="s">
        <v>134</v>
      </c>
    </row>
    <row r="24" ht="40" customHeight="1" spans="1:16">
      <c r="A24" s="3">
        <v>19</v>
      </c>
      <c r="B24" s="8" t="s">
        <v>175</v>
      </c>
      <c r="C24" s="8" t="s">
        <v>176</v>
      </c>
      <c r="D24" s="9">
        <v>45636</v>
      </c>
      <c r="E24" s="8">
        <v>2024</v>
      </c>
      <c r="F24" s="8">
        <v>2</v>
      </c>
      <c r="G24" s="8" t="s">
        <v>104</v>
      </c>
      <c r="H24" s="8" t="s">
        <v>46</v>
      </c>
      <c r="I24" s="8" t="s">
        <v>105</v>
      </c>
      <c r="J24" s="8" t="s">
        <v>46</v>
      </c>
      <c r="K24" s="8" t="s">
        <v>177</v>
      </c>
      <c r="L24" s="8" t="s">
        <v>178</v>
      </c>
      <c r="M24" s="8" t="s">
        <v>179</v>
      </c>
      <c r="N24" s="8" t="s">
        <v>100</v>
      </c>
      <c r="O24" s="13" t="s">
        <v>180</v>
      </c>
      <c r="P24" s="8" t="s">
        <v>134</v>
      </c>
    </row>
    <row r="25" ht="40" customHeight="1" spans="1:16">
      <c r="A25" s="3">
        <v>20</v>
      </c>
      <c r="B25" s="8" t="s">
        <v>181</v>
      </c>
      <c r="C25" s="8" t="s">
        <v>182</v>
      </c>
      <c r="D25" s="9">
        <v>45687</v>
      </c>
      <c r="E25" s="8">
        <v>2025</v>
      </c>
      <c r="F25" s="8">
        <v>2</v>
      </c>
      <c r="G25" s="8" t="s">
        <v>45</v>
      </c>
      <c r="H25" s="8" t="s">
        <v>46</v>
      </c>
      <c r="I25" s="8" t="s">
        <v>47</v>
      </c>
      <c r="J25" s="8" t="s">
        <v>46</v>
      </c>
      <c r="K25" s="8" t="s">
        <v>97</v>
      </c>
      <c r="L25" s="8" t="s">
        <v>183</v>
      </c>
      <c r="M25" s="8" t="s">
        <v>184</v>
      </c>
      <c r="N25" s="16" t="s">
        <v>185</v>
      </c>
      <c r="O25" s="13" t="s">
        <v>186</v>
      </c>
      <c r="P25" s="8" t="s">
        <v>141</v>
      </c>
    </row>
  </sheetData>
  <dataValidations count="5">
    <dataValidation type="whole" operator="between" showErrorMessage="1" errorTitle="Year" error="Enter a year between 2021 and 2026 as a number." sqref="E6:E25">
      <formula1>2021</formula1>
      <formula2>2026</formula2>
    </dataValidation>
    <dataValidation type="list" allowBlank="1" showErrorMessage="1" errorTitle="Pick from the list" error="Choose one of the listed values (see Vocabularies sheet)." sqref="G6:G25">
      <formula1>Vocabularies!$A$3:$A$7</formula1>
    </dataValidation>
    <dataValidation type="list" allowBlank="1" showErrorMessage="1" errorTitle="Pick from the list" error="Choose one of the listed values (see Vocabularies sheet)." sqref="H6:H25">
      <formula1>Vocabularies!$B$3:$B$7</formula1>
    </dataValidation>
    <dataValidation type="list" allowBlank="1" showErrorMessage="1" errorTitle="Pick from the list" error="Choose one of the listed values (see Vocabularies sheet)." sqref="I6:I25">
      <formula1>Vocabularies!$C$3:$C$6</formula1>
    </dataValidation>
    <dataValidation type="list" allowBlank="1" showErrorMessage="1" errorTitle="Pick from the list" error="Choose one of the listed values (see Vocabularies sheet)." sqref="J6:J25">
      <formula1>Vocabularies!$D$3:$D$7</formula1>
    </dataValidation>
  </dataValidations>
  <hyperlinks>
    <hyperlink ref="O6" r:id="rId1" display="https://api.sci.gov.in/supremecourt/2018/43245/43245_2018_9_1501_38622_Judgement_28-Sep-2022.pdf" tooltip="https://api.sci.gov.in/supremecourt/2018/43245/43245_2018_9_1501_38622_Judgement_28-Sep-2022.pdf"/>
    <hyperlink ref="O7" r:id="rId2" display="https://api.sci.gov.in/supremecourt/2018/42369/42369_2018_12_2_59169_Judgement_04-Feb-2025.pdf" tooltip="https://api.sci.gov.in/supremecourt/2018/42369/42369_2018_12_2_59169_Judgement_04-Feb-2025.pdf"/>
    <hyperlink ref="O8" r:id="rId3" display="https://api.sci.gov.in/supremecourt/2024/7336/7336_2024_1_1501_58403_Judgement_10-Jan-2025.pdf"/>
    <hyperlink ref="O9" r:id="rId4" display="https://api.sci.gov.in/supremecourt/2024/3533/3533_2024_11_1501_53688_Judgement_10-Jul-2024.pdf"/>
    <hyperlink ref="O10" r:id="rId5" display="https://api.sci.gov.in/supremecourt/2025/8519/8519_2025_8_1501_72794_Judgement_31-Jul-2026.pdf"/>
    <hyperlink ref="O11" r:id="rId6" display="https://api.sci.gov.in/supremecourt/2023/15840/15840_2023_9_9_55546_Judgement_10-Sep-2024.pdf"/>
    <hyperlink ref="O12" r:id="rId7" display="https://api.sci.gov.in/supremecourt/2023/38285/38285_2023_11_1505_48074_Judgement_06-Nov-2023.pdf"/>
    <hyperlink ref="O13" r:id="rId8" display="https://api.sci.gov.in/supremecourt/2019/43625/43625_2019_6_1505_53522_Judgement_08-Jul-2024.pdf"/>
    <hyperlink ref="O14" r:id="rId9" display="https://api.sci.gov.in/supremecourt/2019/20440/20440_2019_3_1501_62322_Judgement_15-Jul-2025.pdf"/>
    <hyperlink ref="O15" r:id="rId10" display="https://api.sci.gov.in/supremecourt/2023/7582/7582_2023_3_2_53263_Judgement_15-May-2024.pdf"/>
    <hyperlink ref="O16" r:id="rId11" display="https://api.sci.gov.in/supremecourt/2018/15003/15003_2018_4_1501_59475_Judgement_12-Feb-2025.pdf"/>
    <hyperlink ref="O17" r:id="rId12" display="https://api.sci.gov.in/supremecourt/2023/2269/2269_2023_3_1501_62129_Judgement_29-May-2025.pdf"/>
    <hyperlink ref="O18" r:id="rId13" display="https://api.sci.gov.in/supremecourt/2024/52790/52790_2024_2_1501_66615_Judgement_05-Dec-2025.pdf"/>
    <hyperlink ref="O19" r:id="rId14" display="https://api.sci.gov.in/supremecourt/2024/61192/61192_2024_2_1502_71618_Judgement_27-May-2026.pdf"/>
    <hyperlink ref="O20" r:id="rId15" display="https://api.sci.gov.in/supremecourt/2022/21900/21900_2022_2_1501_44628_Judgement_19-May-2023.pdf"/>
    <hyperlink ref="O22" r:id="rId16" display="https://api.sci.gov.in/supremecourt/2019/41310/41310_2019_7_1505_53544_Judgement_10-Jul-2024.pdf"/>
    <hyperlink ref="O23" r:id="rId17" display="https://api.sci.gov.in/supremecourt/2024/1789/1789_2024_7_1506_53695_Judgement_15-Jul-2024.pdf"/>
    <hyperlink ref="O24" r:id="rId18" display="https://api.sci.gov.in/supremecourt/2024/41732/41732_2024_6_1502_57756_Judgement_10-Dec-2024.pdf"/>
    <hyperlink ref="O25" r:id="rId19" display="https://api.sci.gov.in/supremecourt/2017/23813/23813_2017_7_1501_58898_Judgement_30-Jan-2025.pdf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opLeftCell="A4" workbookViewId="0">
      <selection activeCell="B26" sqref="B26"/>
    </sheetView>
  </sheetViews>
  <sheetFormatPr defaultColWidth="8.83636363636364" defaultRowHeight="14.5" outlineLevelCol="1"/>
  <cols>
    <col min="1" max="1" width="26" customWidth="1"/>
    <col min="2" max="2" width="12" customWidth="1"/>
  </cols>
  <sheetData>
    <row r="1" ht="17.6" customHeight="1" spans="1:1">
      <c r="A1" s="1" t="s">
        <v>187</v>
      </c>
    </row>
    <row r="2" spans="1:1">
      <c r="A2" s="4" t="s">
        <v>188</v>
      </c>
    </row>
    <row r="4" spans="1:2">
      <c r="A4" s="2" t="s">
        <v>29</v>
      </c>
      <c r="B4" s="2" t="s">
        <v>189</v>
      </c>
    </row>
    <row r="5" spans="1:2">
      <c r="A5" s="3">
        <v>2021</v>
      </c>
      <c r="B5" s="3">
        <f>COUNTIF(Data!E$6:E$25,A5)</f>
        <v>0</v>
      </c>
    </row>
    <row r="6" spans="1:2">
      <c r="A6" s="3">
        <v>2022</v>
      </c>
      <c r="B6" s="3">
        <f>COUNTIF(Data!E$6:E$25,A6)</f>
        <v>1</v>
      </c>
    </row>
    <row r="7" spans="1:2">
      <c r="A7" s="3">
        <v>2023</v>
      </c>
      <c r="B7" s="3">
        <f>COUNTIF(Data!E$6:E$25,A7)</f>
        <v>2</v>
      </c>
    </row>
    <row r="8" spans="1:2">
      <c r="A8" s="3">
        <v>2024</v>
      </c>
      <c r="B8" s="3">
        <f>COUNTIF(Data!E$6:E$25,A8)</f>
        <v>7</v>
      </c>
    </row>
    <row r="9" spans="1:2">
      <c r="A9" s="3">
        <v>2025</v>
      </c>
      <c r="B9" s="3">
        <f>COUNTIF(Data!E$6:E$25,A9)</f>
        <v>8</v>
      </c>
    </row>
    <row r="10" spans="1:2">
      <c r="A10" s="3">
        <v>2026</v>
      </c>
      <c r="B10" s="3">
        <f>COUNTIF(Data!E$6:E$25,A10)</f>
        <v>2</v>
      </c>
    </row>
    <row r="12" spans="1:2">
      <c r="A12" s="2" t="s">
        <v>33</v>
      </c>
      <c r="B12" s="2" t="s">
        <v>189</v>
      </c>
    </row>
    <row r="13" spans="1:2">
      <c r="A13" s="3" t="s">
        <v>47</v>
      </c>
      <c r="B13" s="3">
        <f>COUNTIF(Data!I$6:I$25,A13)</f>
        <v>14</v>
      </c>
    </row>
    <row r="14" spans="1:2">
      <c r="A14" s="3" t="s">
        <v>76</v>
      </c>
      <c r="B14" s="3">
        <f>COUNTIF(Data!I$6:I$25,A14)</f>
        <v>1</v>
      </c>
    </row>
    <row r="15" spans="1:2">
      <c r="A15" s="3" t="s">
        <v>105</v>
      </c>
      <c r="B15" s="3">
        <f>COUNTIF(Data!I$6:I$25,A15)</f>
        <v>5</v>
      </c>
    </row>
    <row r="16" spans="1:2">
      <c r="A16" s="3" t="s">
        <v>120</v>
      </c>
      <c r="B16" s="3">
        <f>COUNTIF(Data!I$6:I$25,A16)</f>
        <v>0</v>
      </c>
    </row>
    <row r="18" spans="1:2">
      <c r="A18" s="2" t="s">
        <v>32</v>
      </c>
      <c r="B18" s="2" t="s">
        <v>189</v>
      </c>
    </row>
    <row r="19" spans="1:2">
      <c r="A19" s="3" t="s">
        <v>46</v>
      </c>
      <c r="B19" s="3">
        <f>COUNTIF(Data!H$6:H$25,A19)</f>
        <v>20</v>
      </c>
    </row>
    <row r="20" spans="1:2">
      <c r="A20" s="3" t="s">
        <v>190</v>
      </c>
      <c r="B20" s="3">
        <f>COUNTIF(Data!H$6:H$25,A20)</f>
        <v>0</v>
      </c>
    </row>
    <row r="21" spans="1:2">
      <c r="A21" s="3" t="s">
        <v>191</v>
      </c>
      <c r="B21" s="3">
        <f>COUNTIF(Data!H$6:H$25,A21)</f>
        <v>0</v>
      </c>
    </row>
    <row r="22" spans="1:2">
      <c r="A22" s="3" t="s">
        <v>192</v>
      </c>
      <c r="B22" s="3">
        <f>COUNTIF(Data!H$6:H$25,A22)</f>
        <v>0</v>
      </c>
    </row>
    <row r="23" spans="1:2">
      <c r="A23" s="3" t="s">
        <v>120</v>
      </c>
      <c r="B23" s="3">
        <f>COUNTIF(Data!H$6:H$25,A23)</f>
        <v>0</v>
      </c>
    </row>
    <row r="25" spans="1:2">
      <c r="A25" s="2" t="s">
        <v>34</v>
      </c>
      <c r="B25" s="2" t="s">
        <v>189</v>
      </c>
    </row>
    <row r="26" spans="1:2">
      <c r="A26" s="3" t="s">
        <v>46</v>
      </c>
      <c r="B26" s="3">
        <f>COUNTIF(Data!J$6:J$25,A26)</f>
        <v>13</v>
      </c>
    </row>
    <row r="27" spans="1:2">
      <c r="A27" s="3" t="s">
        <v>190</v>
      </c>
      <c r="B27" s="3">
        <f>COUNTIF(Data!J$6:J$25,A27)</f>
        <v>0</v>
      </c>
    </row>
    <row r="28" spans="1:2">
      <c r="A28" s="3" t="s">
        <v>191</v>
      </c>
      <c r="B28" s="3">
        <f>COUNTIF(Data!J$6:J$25,A28)</f>
        <v>0</v>
      </c>
    </row>
    <row r="29" spans="1:2">
      <c r="A29" s="3" t="s">
        <v>192</v>
      </c>
      <c r="B29" s="3">
        <f>COUNTIF(Data!J$6:J$25,A29)</f>
        <v>0</v>
      </c>
    </row>
    <row r="30" spans="1:2">
      <c r="A30" s="3" t="s">
        <v>121</v>
      </c>
      <c r="B30" s="3">
        <f>COUNTIF(Data!J$6:J$25,A30)</f>
        <v>7</v>
      </c>
    </row>
    <row r="32" spans="1:2">
      <c r="A32" s="2" t="s">
        <v>31</v>
      </c>
      <c r="B32" s="2" t="s">
        <v>189</v>
      </c>
    </row>
    <row r="33" spans="1:2">
      <c r="A33" s="3" t="s">
        <v>193</v>
      </c>
      <c r="B33" s="3">
        <f>COUNTIF(Data!G$6:G$25,A33)</f>
        <v>0</v>
      </c>
    </row>
    <row r="34" spans="1:2">
      <c r="A34" s="3" t="s">
        <v>104</v>
      </c>
      <c r="B34" s="3">
        <f>COUNTIF(Data!G$6:G$25,A34)</f>
        <v>9</v>
      </c>
    </row>
    <row r="35" spans="1:2">
      <c r="A35" s="3" t="s">
        <v>45</v>
      </c>
      <c r="B35" s="3">
        <f>COUNTIF(Data!G$6:G$25,A35)</f>
        <v>9</v>
      </c>
    </row>
    <row r="36" spans="1:2">
      <c r="A36" s="3" t="s">
        <v>194</v>
      </c>
      <c r="B36" s="3">
        <f>COUNTIF(Data!G$6:G$25,A36)</f>
        <v>0</v>
      </c>
    </row>
    <row r="37" spans="1:2">
      <c r="A37" s="3" t="s">
        <v>120</v>
      </c>
      <c r="B37" s="3">
        <f>COUNTIF(Data!G$6:G$25,A37)</f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8.83636363636364" defaultRowHeight="14.5" outlineLevelRow="6" outlineLevelCol="3"/>
  <cols>
    <col min="1" max="4" width="26" customWidth="1"/>
  </cols>
  <sheetData>
    <row r="1" ht="17.6" customHeight="1" spans="1:1">
      <c r="A1" s="1" t="s">
        <v>195</v>
      </c>
    </row>
    <row r="2" spans="1:4">
      <c r="A2" s="2" t="s">
        <v>31</v>
      </c>
      <c r="B2" s="2" t="s">
        <v>32</v>
      </c>
      <c r="C2" s="2" t="s">
        <v>33</v>
      </c>
      <c r="D2" s="2" t="s">
        <v>34</v>
      </c>
    </row>
    <row r="3" spans="1:4">
      <c r="A3" s="3" t="s">
        <v>193</v>
      </c>
      <c r="B3" s="3" t="s">
        <v>46</v>
      </c>
      <c r="C3" s="3" t="s">
        <v>47</v>
      </c>
      <c r="D3" s="3" t="s">
        <v>46</v>
      </c>
    </row>
    <row r="4" spans="1:4">
      <c r="A4" s="3" t="s">
        <v>104</v>
      </c>
      <c r="B4" s="3" t="s">
        <v>190</v>
      </c>
      <c r="C4" s="3" t="s">
        <v>76</v>
      </c>
      <c r="D4" s="3" t="s">
        <v>190</v>
      </c>
    </row>
    <row r="5" spans="1:4">
      <c r="A5" s="3" t="s">
        <v>45</v>
      </c>
      <c r="B5" s="3" t="s">
        <v>191</v>
      </c>
      <c r="C5" s="3" t="s">
        <v>105</v>
      </c>
      <c r="D5" s="3" t="s">
        <v>191</v>
      </c>
    </row>
    <row r="6" spans="1:4">
      <c r="A6" s="3" t="s">
        <v>194</v>
      </c>
      <c r="B6" s="3" t="s">
        <v>192</v>
      </c>
      <c r="C6" s="3" t="s">
        <v>120</v>
      </c>
      <c r="D6" s="3" t="s">
        <v>192</v>
      </c>
    </row>
    <row r="7" spans="1:4">
      <c r="A7" s="3" t="s">
        <v>120</v>
      </c>
      <c r="B7" s="3" t="s">
        <v>120</v>
      </c>
      <c r="D7" s="3" t="s">
        <v>121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 Me</vt:lpstr>
      <vt:lpstr>Team</vt:lpstr>
      <vt:lpstr>Data</vt:lpstr>
      <vt:lpstr>Chart counts</vt:lpstr>
      <vt:lpstr>Vocabularies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 Chauhan</cp:lastModifiedBy>
  <dcterms:created xsi:type="dcterms:W3CDTF">2026-09-16T16:43:00Z</dcterms:created>
  <dcterms:modified xsi:type="dcterms:W3CDTF">2026-10-25T10:52:53Z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1DA0E237B69149F28058E0A71C19C9A0_13</vt:lpwstr>
  </property>
  <property fmtid="{D5CDD505-2E9C-101B-9397-08002B2CF9AE}" pid="3" name="KSOProductBuildVer">
    <vt:lpwstr>2057-12.2.0.23206</vt:lpwstr>
  </property>
  <property fmtid="{D5CDD505-2E9C-101B-9397-08002B2CF9AE}" pid="4" name="CalculationRule">
    <vt:i4>0</vt:i4>
  </property>
</Properties>
</file>